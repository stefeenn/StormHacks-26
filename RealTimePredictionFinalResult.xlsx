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ar\Downloads\"/>
    </mc:Choice>
  </mc:AlternateContent>
  <xr:revisionPtr revIDLastSave="0" documentId="13_ncr:1_{30CD58B4-DA09-46A2-A12B-4EEF0329EF6F}" xr6:coauthVersionLast="47" xr6:coauthVersionMax="47" xr10:uidLastSave="{00000000-0000-0000-0000-000000000000}"/>
  <bookViews>
    <workbookView xWindow="-108" yWindow="-108" windowWidth="23256" windowHeight="13896" xr2:uid="{8CDFD6C0-5964-4214-80F1-CD7692F3B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8" i="1" l="1"/>
  <c r="T11" i="1"/>
  <c r="M41" i="1"/>
  <c r="M55" i="1"/>
  <c r="M54" i="1"/>
  <c r="M44" i="1"/>
  <c r="M34" i="1"/>
  <c r="M32" i="1"/>
  <c r="M28" i="1"/>
  <c r="M20" i="1"/>
  <c r="O68" i="1"/>
  <c r="O67" i="1"/>
  <c r="O69" i="1" s="1"/>
  <c r="Q68" i="1"/>
  <c r="Q67" i="1"/>
  <c r="T12" i="1"/>
  <c r="T14" i="1"/>
  <c r="T13" i="1"/>
  <c r="M67" i="1" l="1"/>
  <c r="M69" i="1" s="1"/>
  <c r="V15" i="1"/>
  <c r="V12" i="1"/>
  <c r="T15" i="1"/>
</calcChain>
</file>

<file path=xl/sharedStrings.xml><?xml version="1.0" encoding="utf-8"?>
<sst xmlns="http://schemas.openxmlformats.org/spreadsheetml/2006/main" count="194" uniqueCount="70">
  <si>
    <t>Bryan Baker</t>
  </si>
  <si>
    <t>Giancarlo Stanton</t>
  </si>
  <si>
    <t>0-0</t>
  </si>
  <si>
    <t>0-1</t>
  </si>
  <si>
    <t>STRIKEOUT</t>
  </si>
  <si>
    <t>BALL</t>
  </si>
  <si>
    <t xml:space="preserve">STRIKE </t>
  </si>
  <si>
    <t>STRIKE</t>
  </si>
  <si>
    <t>Ben Rice</t>
  </si>
  <si>
    <t>1-0</t>
  </si>
  <si>
    <t>Cody Bellinger</t>
  </si>
  <si>
    <t xml:space="preserve">Over </t>
  </si>
  <si>
    <t>Under</t>
  </si>
  <si>
    <t>IN PLAY</t>
  </si>
  <si>
    <t>Robbie Ray</t>
  </si>
  <si>
    <t>Jake Bauers</t>
  </si>
  <si>
    <t>Christian Yelich</t>
  </si>
  <si>
    <t>OUT</t>
  </si>
  <si>
    <t>Cooper Pratt</t>
  </si>
  <si>
    <t>FOUL</t>
  </si>
  <si>
    <t>Brewers</t>
  </si>
  <si>
    <t>Padres</t>
  </si>
  <si>
    <t>Jacob Misiorowski</t>
  </si>
  <si>
    <t>Ty France</t>
  </si>
  <si>
    <t>PLAY, OUT</t>
  </si>
  <si>
    <t>Jackson Merrill</t>
  </si>
  <si>
    <t>0-2</t>
  </si>
  <si>
    <t>Xander Bogaerts</t>
  </si>
  <si>
    <t>FOUL OUT</t>
  </si>
  <si>
    <t>Top 3rd</t>
  </si>
  <si>
    <t>Bottom 2nd</t>
  </si>
  <si>
    <t>Top 9th</t>
  </si>
  <si>
    <t>Yankees vs Rays</t>
  </si>
  <si>
    <t>Brewers vs Padres</t>
  </si>
  <si>
    <t>Our Prediction</t>
  </si>
  <si>
    <t>Bet or no bet</t>
  </si>
  <si>
    <t>Hit</t>
  </si>
  <si>
    <t>No bet</t>
  </si>
  <si>
    <t>Miss</t>
  </si>
  <si>
    <t>Bet</t>
  </si>
  <si>
    <t>Hit Amounts</t>
  </si>
  <si>
    <t>Bet and Hits</t>
  </si>
  <si>
    <t>Bet and Miss</t>
  </si>
  <si>
    <t>Total</t>
  </si>
  <si>
    <t>Making Money Ratio</t>
  </si>
  <si>
    <t xml:space="preserve">Bet </t>
  </si>
  <si>
    <t>Odds</t>
  </si>
  <si>
    <t>Payout Ratio</t>
  </si>
  <si>
    <t>Total Bets</t>
  </si>
  <si>
    <t>Accuracy of hit or miss</t>
  </si>
  <si>
    <t>Hit or Miss</t>
  </si>
  <si>
    <t>Cost</t>
  </si>
  <si>
    <t>Totals</t>
  </si>
  <si>
    <t>Total Hits</t>
  </si>
  <si>
    <t>Total Miss</t>
  </si>
  <si>
    <t>Bet/No bet</t>
  </si>
  <si>
    <t>No Bet</t>
  </si>
  <si>
    <t>Profits</t>
  </si>
  <si>
    <t>Yankees</t>
  </si>
  <si>
    <t>Pitchers</t>
  </si>
  <si>
    <t>Batters</t>
  </si>
  <si>
    <t>Pitching Speed Prediction (in mph)</t>
  </si>
  <si>
    <t>Actual Pitching Speed  (in mph)</t>
  </si>
  <si>
    <t>1-2</t>
  </si>
  <si>
    <t>1-1</t>
  </si>
  <si>
    <t>2-2</t>
  </si>
  <si>
    <t>2-3</t>
  </si>
  <si>
    <t>2-1</t>
  </si>
  <si>
    <t>3-1</t>
  </si>
  <si>
    <t>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</si>
</sst>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0" xfId="0" applyFill="1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0" xfId="0" applyFont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49" fontId="0" fillId="0" borderId="11" xfId="0" applyNumberFormat="1" applyBorder="1"/>
    <xf numFmtId="49" fontId="0" fillId="0" borderId="11" xfId="1" applyNumberFormat="1" applyFont="1" applyBorder="1" applyAlignment="1"/>
    <xf numFmtId="49" fontId="0" fillId="0" borderId="2" xfId="0" applyNumberFormat="1" applyBorder="1"/>
    <xf numFmtId="49" fontId="0" fillId="0" borderId="6" xfId="0" applyNumberFormat="1" applyBorder="1"/>
    <xf numFmtId="49" fontId="0" fillId="0" borderId="3" xfId="0" applyNumberFormat="1" applyBorder="1"/>
    <xf numFmtId="49" fontId="0" fillId="0" borderId="12" xfId="0" applyNumberFormat="1" applyBorder="1"/>
    <xf numFmtId="49" fontId="0" fillId="0" borderId="10" xfId="0" applyNumberFormat="1" applyBorder="1"/>
    <xf numFmtId="49" fontId="0" fillId="0" borderId="15" xfId="0" applyNumberFormat="1" applyBorder="1"/>
    <xf numFmtId="49" fontId="0" fillId="0" borderId="4" xfId="0" applyNumberFormat="1" applyBorder="1"/>
    <xf numFmtId="49" fontId="0" fillId="0" borderId="0" xfId="0" applyNumberFormat="1" applyBorder="1"/>
    <xf numFmtId="49" fontId="0" fillId="0" borderId="1" xfId="0" applyNumberFormat="1" applyBorder="1"/>
    <xf numFmtId="49" fontId="0" fillId="0" borderId="9" xfId="0" applyNumberFormat="1" applyBorder="1"/>
    <xf numFmtId="4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26EB-3B17-48F7-B7B8-4F00CCD96051}">
  <dimension ref="A1:W69"/>
  <sheetViews>
    <sheetView tabSelected="1" workbookViewId="0">
      <selection activeCell="K15" sqref="K15"/>
    </sheetView>
  </sheetViews>
  <sheetFormatPr defaultRowHeight="14.4" x14ac:dyDescent="0.3"/>
  <cols>
    <col min="1" max="1" width="16.44140625" style="40" customWidth="1"/>
    <col min="2" max="2" width="18.33203125" customWidth="1"/>
    <col min="3" max="3" width="20.109375" customWidth="1"/>
    <col min="6" max="6" width="16.88671875" customWidth="1"/>
    <col min="11" max="11" width="16.109375" customWidth="1"/>
    <col min="12" max="12" width="12" customWidth="1"/>
    <col min="19" max="19" width="12.6640625" customWidth="1"/>
    <col min="20" max="20" width="12" customWidth="1"/>
    <col min="21" max="21" width="11.6640625" customWidth="1"/>
    <col min="23" max="23" width="10" customWidth="1"/>
  </cols>
  <sheetData>
    <row r="1" spans="1:23" x14ac:dyDescent="0.3">
      <c r="A1" s="30" t="s">
        <v>59</v>
      </c>
      <c r="B1" s="21"/>
      <c r="C1" s="13"/>
      <c r="D1" s="16"/>
      <c r="E1" s="15"/>
      <c r="F1" s="15"/>
      <c r="G1" s="16"/>
      <c r="H1" s="21"/>
      <c r="I1" s="15"/>
      <c r="N1" t="s">
        <v>34</v>
      </c>
    </row>
    <row r="2" spans="1:23" x14ac:dyDescent="0.3">
      <c r="A2" s="28" t="s">
        <v>0</v>
      </c>
      <c r="B2" s="1"/>
      <c r="C2" s="22" t="s">
        <v>61</v>
      </c>
      <c r="D2" s="24" t="s">
        <v>62</v>
      </c>
      <c r="E2" s="25"/>
      <c r="F2" s="7"/>
      <c r="G2" s="6"/>
      <c r="H2" s="1" t="s">
        <v>46</v>
      </c>
      <c r="I2" s="7"/>
    </row>
    <row r="3" spans="1:23" x14ac:dyDescent="0.3">
      <c r="A3" s="31" t="s">
        <v>31</v>
      </c>
      <c r="B3" s="8" t="s">
        <v>60</v>
      </c>
      <c r="C3" s="23"/>
      <c r="D3" s="26"/>
      <c r="E3" s="27"/>
      <c r="F3" s="7"/>
      <c r="G3" s="6" t="s">
        <v>11</v>
      </c>
      <c r="H3" s="1"/>
      <c r="I3" s="7" t="s">
        <v>12</v>
      </c>
      <c r="K3" s="19" t="s">
        <v>32</v>
      </c>
      <c r="M3" s="13"/>
      <c r="N3" s="17" t="s">
        <v>35</v>
      </c>
      <c r="O3" s="18"/>
      <c r="P3" s="17" t="s">
        <v>50</v>
      </c>
      <c r="Q3" s="18"/>
    </row>
    <row r="4" spans="1:23" x14ac:dyDescent="0.3">
      <c r="A4" s="32"/>
      <c r="B4" s="6" t="s">
        <v>1</v>
      </c>
      <c r="C4" s="10"/>
      <c r="D4" s="4" t="s">
        <v>58</v>
      </c>
      <c r="E4" s="5"/>
      <c r="F4" s="5"/>
      <c r="G4" s="3"/>
      <c r="H4" s="4"/>
      <c r="I4" s="5"/>
      <c r="M4" s="11"/>
      <c r="N4" s="6"/>
      <c r="O4" s="1"/>
      <c r="P4" s="6"/>
      <c r="Q4" s="7"/>
    </row>
    <row r="5" spans="1:23" x14ac:dyDescent="0.3">
      <c r="A5" s="28" t="s">
        <v>2</v>
      </c>
      <c r="B5" s="1"/>
      <c r="C5" s="11"/>
      <c r="D5" s="1"/>
      <c r="E5" s="7"/>
      <c r="F5" s="1" t="s">
        <v>7</v>
      </c>
      <c r="G5" s="6">
        <v>-120</v>
      </c>
      <c r="H5" s="1"/>
      <c r="I5" s="7">
        <v>-120</v>
      </c>
      <c r="M5" s="11"/>
      <c r="N5" s="6"/>
      <c r="O5" s="1"/>
      <c r="P5" s="6"/>
      <c r="Q5" s="7"/>
    </row>
    <row r="6" spans="1:23" x14ac:dyDescent="0.3">
      <c r="A6" s="28" t="s">
        <v>3</v>
      </c>
      <c r="B6" s="1"/>
      <c r="C6" s="11">
        <v>90.45</v>
      </c>
      <c r="D6" s="1">
        <v>86.7</v>
      </c>
      <c r="E6" s="7"/>
      <c r="F6" s="1" t="s">
        <v>5</v>
      </c>
      <c r="G6" s="6">
        <v>-120</v>
      </c>
      <c r="H6" s="1"/>
      <c r="I6" s="7">
        <v>-120</v>
      </c>
      <c r="M6" s="11"/>
      <c r="N6" s="6" t="s">
        <v>37</v>
      </c>
      <c r="O6" s="1"/>
      <c r="P6" s="6"/>
      <c r="Q6" s="7" t="s">
        <v>36</v>
      </c>
    </row>
    <row r="7" spans="1:23" x14ac:dyDescent="0.3">
      <c r="A7" s="29" t="s">
        <v>64</v>
      </c>
      <c r="B7" s="1"/>
      <c r="C7" s="11">
        <v>89.95</v>
      </c>
      <c r="D7" s="1">
        <v>84.6</v>
      </c>
      <c r="E7" s="7"/>
      <c r="F7" s="1" t="s">
        <v>6</v>
      </c>
      <c r="G7" s="6">
        <v>-120</v>
      </c>
      <c r="H7" s="1"/>
      <c r="I7" s="7">
        <v>-120</v>
      </c>
      <c r="M7" s="11"/>
      <c r="N7" s="6" t="s">
        <v>37</v>
      </c>
      <c r="O7" s="1"/>
      <c r="P7" s="6"/>
      <c r="Q7" s="7" t="s">
        <v>36</v>
      </c>
    </row>
    <row r="8" spans="1:23" x14ac:dyDescent="0.3">
      <c r="A8" s="28" t="s">
        <v>63</v>
      </c>
      <c r="B8" s="1"/>
      <c r="C8" s="11">
        <v>93.45</v>
      </c>
      <c r="D8" s="1">
        <v>87.3</v>
      </c>
      <c r="E8" s="7"/>
      <c r="F8" s="1" t="s">
        <v>5</v>
      </c>
      <c r="G8" s="6">
        <v>-120</v>
      </c>
      <c r="H8" s="1"/>
      <c r="I8" s="7">
        <v>-120</v>
      </c>
      <c r="M8" s="11"/>
      <c r="N8" s="6" t="s">
        <v>37</v>
      </c>
      <c r="O8" s="1"/>
      <c r="P8" s="6"/>
      <c r="Q8" s="7" t="s">
        <v>36</v>
      </c>
    </row>
    <row r="9" spans="1:23" x14ac:dyDescent="0.3">
      <c r="A9" s="28" t="s">
        <v>65</v>
      </c>
      <c r="B9" s="1"/>
      <c r="C9" s="11">
        <v>94.45</v>
      </c>
      <c r="D9" s="1">
        <v>96.3</v>
      </c>
      <c r="E9" s="7"/>
      <c r="F9" s="1" t="s">
        <v>4</v>
      </c>
      <c r="G9" s="6">
        <v>-115</v>
      </c>
      <c r="H9" s="1"/>
      <c r="I9" s="7">
        <v>-125</v>
      </c>
      <c r="M9" s="11"/>
      <c r="N9" s="6" t="s">
        <v>37</v>
      </c>
      <c r="O9" s="1"/>
      <c r="P9" s="6"/>
      <c r="Q9" s="7" t="s">
        <v>38</v>
      </c>
    </row>
    <row r="10" spans="1:23" x14ac:dyDescent="0.3">
      <c r="A10" s="33" t="s">
        <v>66</v>
      </c>
      <c r="B10" s="2"/>
      <c r="C10" s="12"/>
      <c r="D10" s="2"/>
      <c r="E10" s="9"/>
      <c r="F10" s="2"/>
      <c r="G10" s="8"/>
      <c r="H10" s="2"/>
      <c r="I10" s="9"/>
      <c r="M10" s="11"/>
      <c r="N10" s="6"/>
      <c r="O10" s="1"/>
      <c r="P10" s="6"/>
      <c r="Q10" s="7"/>
    </row>
    <row r="11" spans="1:23" x14ac:dyDescent="0.3">
      <c r="A11" s="34"/>
      <c r="B11" s="4" t="s">
        <v>8</v>
      </c>
      <c r="C11" s="10"/>
      <c r="D11" s="4"/>
      <c r="E11" s="5"/>
      <c r="F11" s="4"/>
      <c r="G11" s="3"/>
      <c r="H11" s="4"/>
      <c r="I11" s="5"/>
      <c r="M11" s="11"/>
      <c r="N11" s="6"/>
      <c r="O11" s="1"/>
      <c r="P11" s="6"/>
      <c r="Q11" s="7"/>
      <c r="S11" s="13" t="s">
        <v>43</v>
      </c>
      <c r="T11" s="16">
        <f>COUNTA(Q6:Q65)</f>
        <v>34</v>
      </c>
      <c r="U11" s="11"/>
      <c r="V11" s="5" t="s">
        <v>44</v>
      </c>
      <c r="W11" s="13"/>
    </row>
    <row r="12" spans="1:23" x14ac:dyDescent="0.3">
      <c r="A12" s="28" t="s">
        <v>2</v>
      </c>
      <c r="C12" s="11">
        <v>92.95</v>
      </c>
      <c r="D12" s="1">
        <v>96.1</v>
      </c>
      <c r="E12" s="7"/>
      <c r="F12" s="1" t="s">
        <v>5</v>
      </c>
      <c r="G12" s="6">
        <v>-120</v>
      </c>
      <c r="H12" s="1"/>
      <c r="I12" s="7">
        <v>-120</v>
      </c>
      <c r="M12" s="11"/>
      <c r="N12" s="6" t="s">
        <v>37</v>
      </c>
      <c r="O12" s="1"/>
      <c r="P12" s="6"/>
      <c r="Q12" s="7" t="s">
        <v>36</v>
      </c>
      <c r="S12" s="13" t="s">
        <v>40</v>
      </c>
      <c r="T12" s="16">
        <f>COUNTIF(Q6:Q65, "Hit")</f>
        <v>23</v>
      </c>
      <c r="U12" s="11"/>
      <c r="V12" s="20">
        <f>T13/(T13+T14)</f>
        <v>0.70588235294117652</v>
      </c>
      <c r="W12" s="18"/>
    </row>
    <row r="13" spans="1:23" x14ac:dyDescent="0.3">
      <c r="A13" s="28" t="s">
        <v>9</v>
      </c>
      <c r="C13" s="11">
        <v>90.95</v>
      </c>
      <c r="D13" s="1">
        <v>86.1</v>
      </c>
      <c r="E13" s="7"/>
      <c r="F13" s="1" t="s">
        <v>7</v>
      </c>
      <c r="G13" s="6">
        <v>-120</v>
      </c>
      <c r="H13" s="1"/>
      <c r="I13" s="7">
        <v>-120</v>
      </c>
      <c r="M13" s="11">
        <v>0</v>
      </c>
      <c r="N13" s="6" t="s">
        <v>39</v>
      </c>
      <c r="O13" s="1"/>
      <c r="P13" s="6"/>
      <c r="Q13" s="7" t="s">
        <v>38</v>
      </c>
      <c r="S13" s="13" t="s">
        <v>41</v>
      </c>
      <c r="T13" s="16">
        <f>COUNTIFS(N6:N65,"Bet", Q6:Q65, "Hit")</f>
        <v>12</v>
      </c>
      <c r="U13" s="6"/>
      <c r="V13" s="1"/>
      <c r="W13" s="1"/>
    </row>
    <row r="14" spans="1:23" x14ac:dyDescent="0.3">
      <c r="A14" s="28" t="s">
        <v>64</v>
      </c>
      <c r="C14" s="11">
        <v>88.45</v>
      </c>
      <c r="D14" s="1">
        <v>86.8</v>
      </c>
      <c r="E14" s="7"/>
      <c r="F14" s="1" t="s">
        <v>7</v>
      </c>
      <c r="G14" s="6">
        <v>-120</v>
      </c>
      <c r="H14" s="1"/>
      <c r="I14" s="7">
        <v>-120</v>
      </c>
      <c r="M14" s="11"/>
      <c r="N14" s="6" t="s">
        <v>37</v>
      </c>
      <c r="O14" s="1"/>
      <c r="P14" s="6"/>
      <c r="Q14" s="7" t="s">
        <v>36</v>
      </c>
      <c r="S14" s="13" t="s">
        <v>42</v>
      </c>
      <c r="T14" s="16">
        <f>COUNTIFS(N6:N65, "Bet", Q6:Q65, "Miss")</f>
        <v>5</v>
      </c>
      <c r="U14" s="11"/>
      <c r="V14" s="21" t="s">
        <v>49</v>
      </c>
      <c r="W14" s="15"/>
    </row>
    <row r="15" spans="1:23" x14ac:dyDescent="0.3">
      <c r="A15" s="28" t="s">
        <v>63</v>
      </c>
      <c r="C15" s="11">
        <v>91.45</v>
      </c>
      <c r="D15" s="1">
        <v>85.8</v>
      </c>
      <c r="E15" s="7"/>
      <c r="F15" s="1" t="s">
        <v>5</v>
      </c>
      <c r="G15" s="6">
        <v>-120</v>
      </c>
      <c r="H15" s="1"/>
      <c r="I15" s="7">
        <v>-120</v>
      </c>
      <c r="M15" s="11"/>
      <c r="N15" s="6" t="s">
        <v>37</v>
      </c>
      <c r="O15" s="1"/>
      <c r="P15" s="6"/>
      <c r="Q15" s="7" t="s">
        <v>36</v>
      </c>
      <c r="S15" s="13" t="s">
        <v>48</v>
      </c>
      <c r="T15" s="16">
        <f>T14+T13</f>
        <v>17</v>
      </c>
      <c r="U15" s="11"/>
      <c r="V15" s="20">
        <f>T12/T11</f>
        <v>0.67647058823529416</v>
      </c>
      <c r="W15" s="18"/>
    </row>
    <row r="16" spans="1:23" x14ac:dyDescent="0.3">
      <c r="A16" s="28" t="s">
        <v>65</v>
      </c>
      <c r="C16" s="11">
        <v>94.45</v>
      </c>
      <c r="D16" s="1">
        <v>82.6</v>
      </c>
      <c r="E16" s="7"/>
      <c r="F16" s="1" t="s">
        <v>4</v>
      </c>
      <c r="G16" s="6">
        <v>-125</v>
      </c>
      <c r="H16" s="1"/>
      <c r="I16" s="7">
        <v>-115</v>
      </c>
      <c r="M16" s="11"/>
      <c r="N16" s="6" t="s">
        <v>37</v>
      </c>
      <c r="O16" s="1"/>
      <c r="P16" s="6"/>
      <c r="Q16" s="7" t="s">
        <v>36</v>
      </c>
    </row>
    <row r="17" spans="1:21" x14ac:dyDescent="0.3">
      <c r="A17" s="33" t="s">
        <v>66</v>
      </c>
      <c r="B17" s="2"/>
      <c r="C17" s="12"/>
      <c r="D17" s="2"/>
      <c r="E17" s="9"/>
      <c r="F17" s="2"/>
      <c r="G17" s="8"/>
      <c r="H17" s="2"/>
      <c r="I17" s="9"/>
      <c r="M17" s="11"/>
      <c r="N17" s="6"/>
      <c r="O17" s="1"/>
      <c r="P17" s="6"/>
      <c r="Q17" s="7"/>
    </row>
    <row r="18" spans="1:21" x14ac:dyDescent="0.3">
      <c r="A18" s="28"/>
      <c r="B18" s="1" t="s">
        <v>10</v>
      </c>
      <c r="C18" s="10"/>
      <c r="D18" s="1"/>
      <c r="E18" s="7"/>
      <c r="F18" s="1"/>
      <c r="G18" s="6"/>
      <c r="H18" s="1"/>
      <c r="I18" s="7"/>
      <c r="M18" s="11"/>
      <c r="N18" s="6"/>
      <c r="O18" s="1"/>
      <c r="P18" s="6"/>
      <c r="Q18" s="7"/>
    </row>
    <row r="19" spans="1:21" x14ac:dyDescent="0.3">
      <c r="A19" s="28" t="s">
        <v>2</v>
      </c>
      <c r="B19" s="1"/>
      <c r="C19" s="11">
        <v>94.45</v>
      </c>
      <c r="D19" s="1">
        <v>82.6</v>
      </c>
      <c r="E19" s="7"/>
      <c r="F19" s="1" t="s">
        <v>6</v>
      </c>
      <c r="G19" s="6">
        <v>-125</v>
      </c>
      <c r="H19" s="1"/>
      <c r="I19" s="7">
        <v>-115</v>
      </c>
      <c r="M19" s="11"/>
      <c r="N19" s="6" t="s">
        <v>37</v>
      </c>
      <c r="O19" s="1"/>
      <c r="P19" s="6"/>
      <c r="Q19" s="7" t="s">
        <v>36</v>
      </c>
    </row>
    <row r="20" spans="1:21" x14ac:dyDescent="0.3">
      <c r="A20" s="28" t="s">
        <v>9</v>
      </c>
      <c r="B20" s="1"/>
      <c r="C20" s="11">
        <v>90.95</v>
      </c>
      <c r="D20" s="1">
        <v>94.3</v>
      </c>
      <c r="E20" s="7"/>
      <c r="F20" s="1" t="s">
        <v>6</v>
      </c>
      <c r="G20" s="6">
        <v>-120</v>
      </c>
      <c r="H20" s="1"/>
      <c r="I20" s="7">
        <v>-120</v>
      </c>
      <c r="M20" s="11">
        <f>20*T26</f>
        <v>36.68</v>
      </c>
      <c r="N20" s="6" t="s">
        <v>39</v>
      </c>
      <c r="O20" s="1"/>
      <c r="P20" s="6"/>
      <c r="Q20" s="7" t="s">
        <v>36</v>
      </c>
    </row>
    <row r="21" spans="1:21" x14ac:dyDescent="0.3">
      <c r="A21" s="28" t="s">
        <v>64</v>
      </c>
      <c r="B21" s="1"/>
      <c r="C21" s="11">
        <v>87.95</v>
      </c>
      <c r="D21" s="1">
        <v>82.7</v>
      </c>
      <c r="E21" s="7"/>
      <c r="F21" s="1" t="s">
        <v>5</v>
      </c>
      <c r="G21" s="6">
        <v>-120</v>
      </c>
      <c r="H21" s="1"/>
      <c r="I21" s="7">
        <v>-120</v>
      </c>
      <c r="M21" s="11"/>
      <c r="N21" s="6" t="s">
        <v>37</v>
      </c>
      <c r="O21" s="1"/>
      <c r="P21" s="6"/>
      <c r="Q21" s="7" t="s">
        <v>38</v>
      </c>
    </row>
    <row r="22" spans="1:21" x14ac:dyDescent="0.3">
      <c r="A22" s="28" t="s">
        <v>67</v>
      </c>
      <c r="B22" s="1"/>
      <c r="C22" s="12">
        <v>93.95</v>
      </c>
      <c r="D22" s="1">
        <v>81</v>
      </c>
      <c r="E22" s="7"/>
      <c r="F22" s="2" t="s">
        <v>13</v>
      </c>
      <c r="G22" s="8">
        <v>-120</v>
      </c>
      <c r="H22" s="2"/>
      <c r="I22" s="9">
        <v>-120</v>
      </c>
      <c r="M22" s="11">
        <v>0</v>
      </c>
      <c r="N22" s="6" t="s">
        <v>39</v>
      </c>
      <c r="O22" s="1"/>
      <c r="P22" s="6"/>
      <c r="Q22" s="7" t="s">
        <v>38</v>
      </c>
    </row>
    <row r="23" spans="1:21" x14ac:dyDescent="0.3">
      <c r="A23" s="35"/>
      <c r="B23" s="21"/>
      <c r="C23" s="21"/>
      <c r="D23" s="21"/>
      <c r="E23" s="21"/>
      <c r="M23" s="11"/>
      <c r="N23" s="6"/>
      <c r="O23" s="1"/>
      <c r="P23" s="6"/>
      <c r="Q23" s="7"/>
    </row>
    <row r="24" spans="1:21" x14ac:dyDescent="0.3">
      <c r="A24" s="28" t="s">
        <v>14</v>
      </c>
      <c r="B24" s="1"/>
      <c r="C24" s="10"/>
      <c r="D24" s="1"/>
      <c r="E24" s="7"/>
      <c r="F24" s="10"/>
      <c r="G24" s="4"/>
      <c r="H24" s="4"/>
      <c r="I24" s="5"/>
      <c r="M24" s="11"/>
      <c r="N24" s="6"/>
      <c r="O24" s="1"/>
      <c r="P24" s="6"/>
      <c r="Q24" s="7"/>
      <c r="S24" s="13" t="s">
        <v>46</v>
      </c>
      <c r="T24" s="16" t="s">
        <v>47</v>
      </c>
      <c r="U24" s="6"/>
    </row>
    <row r="25" spans="1:21" x14ac:dyDescent="0.3">
      <c r="A25" s="28" t="s">
        <v>30</v>
      </c>
      <c r="B25" s="1"/>
      <c r="C25" s="11"/>
      <c r="D25" s="1"/>
      <c r="E25" s="7"/>
      <c r="F25" s="11"/>
      <c r="G25" s="1"/>
      <c r="H25" s="1"/>
      <c r="I25" s="7"/>
      <c r="M25" s="11"/>
      <c r="N25" s="6"/>
      <c r="O25" s="1"/>
      <c r="P25" s="6"/>
      <c r="Q25" s="7"/>
      <c r="S25" s="13"/>
      <c r="T25" s="16"/>
      <c r="U25" s="6"/>
    </row>
    <row r="26" spans="1:21" x14ac:dyDescent="0.3">
      <c r="A26" s="34"/>
      <c r="B26" s="4" t="s">
        <v>15</v>
      </c>
      <c r="C26" s="10"/>
      <c r="D26" s="4" t="s">
        <v>20</v>
      </c>
      <c r="E26" s="5"/>
      <c r="F26" s="10"/>
      <c r="G26" s="4"/>
      <c r="H26" s="4"/>
      <c r="I26" s="5"/>
      <c r="K26" s="19" t="s">
        <v>33</v>
      </c>
      <c r="M26" s="11"/>
      <c r="N26" s="6"/>
      <c r="O26" s="1"/>
      <c r="P26" s="6"/>
      <c r="Q26" s="7"/>
      <c r="S26" s="13">
        <v>-120</v>
      </c>
      <c r="T26" s="16">
        <v>1.8340000000000001</v>
      </c>
      <c r="U26" s="6"/>
    </row>
    <row r="27" spans="1:21" x14ac:dyDescent="0.3">
      <c r="A27" s="28" t="s">
        <v>2</v>
      </c>
      <c r="C27" s="11">
        <v>90.45</v>
      </c>
      <c r="D27" s="1">
        <v>92.2</v>
      </c>
      <c r="E27" s="7"/>
      <c r="F27" s="11" t="s">
        <v>7</v>
      </c>
      <c r="G27" s="1">
        <v>-120</v>
      </c>
      <c r="H27" s="1"/>
      <c r="I27" s="7">
        <v>-120</v>
      </c>
      <c r="M27" s="11"/>
      <c r="N27" s="6" t="s">
        <v>37</v>
      </c>
      <c r="O27" s="1"/>
      <c r="P27" s="6"/>
      <c r="Q27" s="7" t="s">
        <v>38</v>
      </c>
      <c r="S27" s="13">
        <v>-125</v>
      </c>
      <c r="T27" s="16">
        <v>1.8</v>
      </c>
      <c r="U27" s="6"/>
    </row>
    <row r="28" spans="1:21" x14ac:dyDescent="0.3">
      <c r="A28" s="28" t="s">
        <v>3</v>
      </c>
      <c r="C28" s="11">
        <v>87.45</v>
      </c>
      <c r="D28" s="1">
        <v>94.2</v>
      </c>
      <c r="E28" s="7"/>
      <c r="F28" s="11" t="s">
        <v>5</v>
      </c>
      <c r="G28" s="1">
        <v>-120</v>
      </c>
      <c r="H28" s="1"/>
      <c r="I28" s="7">
        <v>-120</v>
      </c>
      <c r="M28" s="11">
        <f>20*T26</f>
        <v>36.68</v>
      </c>
      <c r="N28" s="6" t="s">
        <v>39</v>
      </c>
      <c r="O28" s="1"/>
      <c r="P28" s="6"/>
      <c r="Q28" s="7" t="s">
        <v>36</v>
      </c>
      <c r="S28" s="13">
        <v>-115</v>
      </c>
      <c r="T28" s="16">
        <v>1.87</v>
      </c>
      <c r="U28" s="6"/>
    </row>
    <row r="29" spans="1:21" x14ac:dyDescent="0.3">
      <c r="A29" s="28" t="s">
        <v>64</v>
      </c>
      <c r="B29" s="1"/>
      <c r="C29" s="11"/>
      <c r="D29" s="1">
        <v>93</v>
      </c>
      <c r="E29" s="7"/>
      <c r="F29" s="11" t="s">
        <v>13</v>
      </c>
      <c r="G29" s="1"/>
      <c r="H29" s="1"/>
      <c r="I29" s="7"/>
      <c r="M29" s="11"/>
      <c r="N29" s="6"/>
      <c r="O29" s="1"/>
      <c r="P29" s="6"/>
      <c r="Q29" s="7"/>
    </row>
    <row r="30" spans="1:21" x14ac:dyDescent="0.3">
      <c r="A30" s="33"/>
      <c r="B30" s="2"/>
      <c r="C30" s="12"/>
      <c r="D30" s="2"/>
      <c r="E30" s="9"/>
      <c r="F30" s="12"/>
      <c r="G30" s="2"/>
      <c r="H30" s="2"/>
      <c r="I30" s="9"/>
      <c r="M30" s="11"/>
      <c r="N30" s="6"/>
      <c r="O30" s="1"/>
      <c r="P30" s="6"/>
      <c r="Q30" s="7"/>
    </row>
    <row r="31" spans="1:21" x14ac:dyDescent="0.3">
      <c r="A31" s="34"/>
      <c r="B31" s="4" t="s">
        <v>16</v>
      </c>
      <c r="C31" s="10"/>
      <c r="D31" s="4"/>
      <c r="E31" s="5"/>
      <c r="F31" s="10"/>
      <c r="G31" s="4"/>
      <c r="H31" s="4"/>
      <c r="I31" s="5"/>
      <c r="M31" s="11"/>
      <c r="N31" s="6"/>
      <c r="O31" s="1"/>
      <c r="P31" s="6"/>
      <c r="Q31" s="7"/>
    </row>
    <row r="32" spans="1:21" x14ac:dyDescent="0.3">
      <c r="A32" s="28" t="s">
        <v>2</v>
      </c>
      <c r="C32" s="11">
        <v>92.45</v>
      </c>
      <c r="D32" s="1">
        <v>87.5</v>
      </c>
      <c r="E32" s="7"/>
      <c r="F32" s="11" t="s">
        <v>17</v>
      </c>
      <c r="G32" s="1">
        <v>-120</v>
      </c>
      <c r="H32" s="1"/>
      <c r="I32" s="7">
        <v>-120</v>
      </c>
      <c r="M32" s="11">
        <f>20*T26</f>
        <v>36.68</v>
      </c>
      <c r="N32" s="6" t="s">
        <v>39</v>
      </c>
      <c r="O32" s="1"/>
      <c r="P32" s="6"/>
      <c r="Q32" s="7" t="s">
        <v>36</v>
      </c>
    </row>
    <row r="33" spans="1:17" x14ac:dyDescent="0.3">
      <c r="A33" s="28" t="s">
        <v>3</v>
      </c>
      <c r="C33" s="11">
        <v>88.45</v>
      </c>
      <c r="D33" s="1">
        <v>88.4</v>
      </c>
      <c r="E33" s="7"/>
      <c r="F33" s="11" t="s">
        <v>5</v>
      </c>
      <c r="G33" s="1">
        <v>-120</v>
      </c>
      <c r="H33" s="1"/>
      <c r="I33" s="7">
        <v>-120</v>
      </c>
      <c r="M33" s="11"/>
      <c r="N33" s="6" t="s">
        <v>37</v>
      </c>
      <c r="O33" s="1"/>
      <c r="P33" s="6"/>
      <c r="Q33" s="7" t="s">
        <v>38</v>
      </c>
    </row>
    <row r="34" spans="1:17" x14ac:dyDescent="0.3">
      <c r="A34" s="28" t="s">
        <v>64</v>
      </c>
      <c r="C34" s="11">
        <v>92.45</v>
      </c>
      <c r="D34" s="1">
        <v>91.7</v>
      </c>
      <c r="E34" s="7"/>
      <c r="F34" s="11" t="s">
        <v>5</v>
      </c>
      <c r="G34" s="1">
        <v>-120</v>
      </c>
      <c r="H34" s="1"/>
      <c r="I34" s="7">
        <v>-120</v>
      </c>
      <c r="M34" s="11">
        <f>20*T26</f>
        <v>36.68</v>
      </c>
      <c r="N34" s="6" t="s">
        <v>39</v>
      </c>
      <c r="O34" s="1"/>
      <c r="P34" s="6"/>
      <c r="Q34" s="7" t="s">
        <v>36</v>
      </c>
    </row>
    <row r="35" spans="1:17" x14ac:dyDescent="0.3">
      <c r="A35" s="28" t="s">
        <v>67</v>
      </c>
      <c r="C35" s="11">
        <v>90.95</v>
      </c>
      <c r="D35" s="1">
        <v>94.3</v>
      </c>
      <c r="E35" s="7"/>
      <c r="F35" s="11" t="s">
        <v>5</v>
      </c>
      <c r="G35" s="1">
        <v>-120</v>
      </c>
      <c r="H35" s="1"/>
      <c r="I35" s="7">
        <v>-120</v>
      </c>
      <c r="M35" s="11"/>
      <c r="N35" s="6" t="s">
        <v>37</v>
      </c>
      <c r="O35" s="1"/>
      <c r="P35" s="6"/>
      <c r="Q35" s="7" t="s">
        <v>38</v>
      </c>
    </row>
    <row r="36" spans="1:17" x14ac:dyDescent="0.3">
      <c r="A36" s="28" t="s">
        <v>68</v>
      </c>
      <c r="C36" s="11">
        <v>90.95</v>
      </c>
      <c r="D36" s="14">
        <v>94</v>
      </c>
      <c r="E36" s="7"/>
      <c r="F36" s="11" t="s">
        <v>13</v>
      </c>
      <c r="G36" s="14">
        <v>-120</v>
      </c>
      <c r="H36" s="1"/>
      <c r="I36" s="7">
        <v>-120</v>
      </c>
      <c r="M36" s="11">
        <v>36.68</v>
      </c>
      <c r="N36" s="6" t="s">
        <v>39</v>
      </c>
      <c r="O36" s="1"/>
      <c r="P36" s="6"/>
      <c r="Q36" s="7" t="s">
        <v>36</v>
      </c>
    </row>
    <row r="37" spans="1:17" x14ac:dyDescent="0.3">
      <c r="A37" s="33"/>
      <c r="B37" s="2"/>
      <c r="C37" s="12"/>
      <c r="D37" s="2"/>
      <c r="E37" s="9"/>
      <c r="F37" s="12"/>
      <c r="G37" s="2"/>
      <c r="H37" s="2"/>
      <c r="I37" s="9"/>
      <c r="M37" s="11"/>
      <c r="N37" s="6"/>
      <c r="O37" s="1"/>
      <c r="P37" s="6"/>
      <c r="Q37" s="7"/>
    </row>
    <row r="38" spans="1:17" x14ac:dyDescent="0.3">
      <c r="A38" s="34"/>
      <c r="B38" s="4" t="s">
        <v>18</v>
      </c>
      <c r="C38" s="10"/>
      <c r="D38" s="4"/>
      <c r="E38" s="5"/>
      <c r="F38" s="10"/>
      <c r="G38" s="4"/>
      <c r="H38" s="4"/>
      <c r="I38" s="5"/>
      <c r="M38" s="11"/>
      <c r="N38" s="6"/>
      <c r="O38" s="1"/>
      <c r="P38" s="6"/>
      <c r="Q38" s="7"/>
    </row>
    <row r="39" spans="1:17" x14ac:dyDescent="0.3">
      <c r="A39" s="28" t="s">
        <v>2</v>
      </c>
      <c r="C39" s="11">
        <v>93.45</v>
      </c>
      <c r="D39" s="1">
        <v>94.4</v>
      </c>
      <c r="E39" s="7"/>
      <c r="F39" s="11" t="s">
        <v>7</v>
      </c>
      <c r="G39" s="1">
        <v>-125</v>
      </c>
      <c r="H39" s="1"/>
      <c r="I39" s="7">
        <v>-115</v>
      </c>
      <c r="M39" s="11">
        <v>0</v>
      </c>
      <c r="N39" s="6" t="s">
        <v>39</v>
      </c>
      <c r="O39" s="1"/>
      <c r="P39" s="6"/>
      <c r="Q39" s="7" t="s">
        <v>38</v>
      </c>
    </row>
    <row r="40" spans="1:17" x14ac:dyDescent="0.3">
      <c r="A40" s="28" t="s">
        <v>3</v>
      </c>
      <c r="C40" s="11">
        <v>92.95</v>
      </c>
      <c r="D40" s="1">
        <v>95</v>
      </c>
      <c r="E40" s="7"/>
      <c r="F40" s="11" t="s">
        <v>7</v>
      </c>
      <c r="G40" s="1">
        <v>-115</v>
      </c>
      <c r="H40" s="1"/>
      <c r="I40" s="7">
        <v>-125</v>
      </c>
      <c r="M40" s="11">
        <v>0</v>
      </c>
      <c r="N40" s="6" t="s">
        <v>39</v>
      </c>
      <c r="O40" s="1"/>
      <c r="P40" s="6"/>
      <c r="Q40" s="7" t="s">
        <v>38</v>
      </c>
    </row>
    <row r="41" spans="1:17" x14ac:dyDescent="0.3">
      <c r="A41" s="28" t="s">
        <v>26</v>
      </c>
      <c r="C41" s="11">
        <v>92.45</v>
      </c>
      <c r="D41" s="1">
        <v>88.2</v>
      </c>
      <c r="E41" s="7"/>
      <c r="F41" s="11" t="s">
        <v>5</v>
      </c>
      <c r="G41" s="1">
        <v>-125</v>
      </c>
      <c r="H41" s="1"/>
      <c r="I41" s="7">
        <v>-115</v>
      </c>
      <c r="M41" s="11">
        <f>20*T27</f>
        <v>36</v>
      </c>
      <c r="N41" s="6" t="s">
        <v>39</v>
      </c>
      <c r="O41" s="1"/>
      <c r="P41" s="6"/>
      <c r="Q41" s="7" t="s">
        <v>36</v>
      </c>
    </row>
    <row r="42" spans="1:17" x14ac:dyDescent="0.3">
      <c r="A42" s="28" t="s">
        <v>63</v>
      </c>
      <c r="C42" s="11">
        <v>88.95</v>
      </c>
      <c r="D42" s="1">
        <v>89</v>
      </c>
      <c r="E42" s="7"/>
      <c r="F42" s="11" t="s">
        <v>19</v>
      </c>
      <c r="G42" s="1">
        <v>-120</v>
      </c>
      <c r="H42" s="1"/>
      <c r="I42" s="7">
        <v>-120</v>
      </c>
      <c r="M42" s="11"/>
      <c r="N42" s="6" t="s">
        <v>37</v>
      </c>
      <c r="O42" s="1"/>
      <c r="P42" s="6"/>
      <c r="Q42" s="7" t="s">
        <v>38</v>
      </c>
    </row>
    <row r="43" spans="1:17" x14ac:dyDescent="0.3">
      <c r="A43" s="28" t="s">
        <v>63</v>
      </c>
      <c r="C43" s="11">
        <v>88.95</v>
      </c>
      <c r="D43" s="1">
        <v>94.3</v>
      </c>
      <c r="E43" s="7"/>
      <c r="F43" s="11" t="s">
        <v>5</v>
      </c>
      <c r="G43" s="1">
        <v>-120</v>
      </c>
      <c r="H43" s="1"/>
      <c r="I43" s="7">
        <v>-120</v>
      </c>
      <c r="M43" s="11"/>
      <c r="N43" s="6" t="s">
        <v>37</v>
      </c>
      <c r="O43" s="1"/>
      <c r="P43" s="6"/>
      <c r="Q43" s="7" t="s">
        <v>36</v>
      </c>
    </row>
    <row r="44" spans="1:17" x14ac:dyDescent="0.3">
      <c r="A44" s="28" t="s">
        <v>65</v>
      </c>
      <c r="C44" s="11">
        <v>89.45</v>
      </c>
      <c r="D44" s="1">
        <v>95</v>
      </c>
      <c r="E44" s="7"/>
      <c r="F44" s="11" t="s">
        <v>19</v>
      </c>
      <c r="G44" s="1">
        <v>-120</v>
      </c>
      <c r="H44" s="1"/>
      <c r="I44" s="7">
        <v>-120</v>
      </c>
      <c r="M44" s="11">
        <f>20*T26</f>
        <v>36.68</v>
      </c>
      <c r="N44" s="6" t="s">
        <v>39</v>
      </c>
      <c r="O44" s="1"/>
      <c r="P44" s="6"/>
      <c r="Q44" s="7" t="s">
        <v>36</v>
      </c>
    </row>
    <row r="45" spans="1:17" x14ac:dyDescent="0.3">
      <c r="A45" s="28" t="s">
        <v>65</v>
      </c>
      <c r="C45" s="11">
        <v>88.95</v>
      </c>
      <c r="D45" s="1">
        <v>95</v>
      </c>
      <c r="E45" s="7"/>
      <c r="F45" s="11" t="s">
        <v>4</v>
      </c>
      <c r="G45" s="1">
        <v>-120</v>
      </c>
      <c r="H45" s="1"/>
      <c r="I45" s="7">
        <v>-120</v>
      </c>
      <c r="M45" s="11"/>
      <c r="N45" s="6"/>
      <c r="O45" s="1"/>
      <c r="P45" s="6"/>
      <c r="Q45" s="7"/>
    </row>
    <row r="46" spans="1:17" x14ac:dyDescent="0.3">
      <c r="A46" s="28"/>
      <c r="B46" s="1"/>
      <c r="C46" s="12"/>
      <c r="D46" s="1"/>
      <c r="E46" s="7"/>
      <c r="F46" s="11"/>
      <c r="G46" s="1"/>
      <c r="H46" s="1"/>
      <c r="I46" s="7"/>
      <c r="M46" s="11"/>
      <c r="N46" s="6"/>
      <c r="O46" s="1"/>
      <c r="P46" s="6"/>
      <c r="Q46" s="7"/>
    </row>
    <row r="47" spans="1:17" x14ac:dyDescent="0.3">
      <c r="A47" s="36"/>
      <c r="B47" s="4"/>
      <c r="C47" s="4"/>
      <c r="D47" s="4"/>
      <c r="E47" s="4"/>
      <c r="F47" s="4"/>
      <c r="G47" s="4"/>
      <c r="H47" s="4"/>
      <c r="I47" s="4"/>
      <c r="M47" s="11"/>
      <c r="N47" s="6"/>
      <c r="O47" s="1"/>
      <c r="P47" s="6"/>
      <c r="Q47" s="7"/>
    </row>
    <row r="48" spans="1:17" x14ac:dyDescent="0.3">
      <c r="A48" s="37"/>
      <c r="B48" s="1"/>
      <c r="C48" s="1"/>
      <c r="D48" s="1"/>
      <c r="E48" s="1"/>
      <c r="F48" s="1"/>
      <c r="G48" s="14"/>
      <c r="H48" s="1"/>
      <c r="I48" s="1"/>
      <c r="M48" s="11"/>
      <c r="N48" s="6"/>
      <c r="O48" s="1"/>
      <c r="P48" s="6"/>
      <c r="Q48" s="7"/>
    </row>
    <row r="49" spans="1:17" x14ac:dyDescent="0.3">
      <c r="A49" s="37"/>
      <c r="B49" s="1"/>
      <c r="C49" s="1"/>
      <c r="D49" s="1"/>
      <c r="E49" s="1"/>
      <c r="F49" s="1"/>
      <c r="G49" s="14"/>
      <c r="H49" s="1"/>
      <c r="I49" s="1"/>
      <c r="M49" s="11"/>
      <c r="N49" s="6"/>
      <c r="O49" s="1"/>
      <c r="P49" s="6"/>
      <c r="Q49" s="7"/>
    </row>
    <row r="50" spans="1:17" x14ac:dyDescent="0.3">
      <c r="A50" s="38"/>
      <c r="B50" s="2"/>
      <c r="C50" s="2"/>
      <c r="D50" s="2"/>
      <c r="E50" s="2"/>
      <c r="F50" s="2"/>
      <c r="G50" s="2"/>
      <c r="H50" s="2"/>
      <c r="I50" s="2"/>
      <c r="M50" s="11"/>
      <c r="N50" s="6"/>
      <c r="O50" s="1"/>
      <c r="P50" s="6"/>
      <c r="Q50" s="7"/>
    </row>
    <row r="51" spans="1:17" x14ac:dyDescent="0.3">
      <c r="A51" s="28" t="s">
        <v>22</v>
      </c>
      <c r="B51" s="1"/>
      <c r="C51" s="10"/>
      <c r="D51" s="1"/>
      <c r="E51" s="7"/>
      <c r="F51" s="11"/>
      <c r="G51" s="1"/>
      <c r="H51" s="1"/>
      <c r="I51" s="7"/>
      <c r="M51" s="11"/>
      <c r="N51" s="6"/>
      <c r="O51" s="1"/>
      <c r="P51" s="6"/>
      <c r="Q51" s="7"/>
    </row>
    <row r="52" spans="1:17" x14ac:dyDescent="0.3">
      <c r="A52" s="39" t="s">
        <v>29</v>
      </c>
      <c r="B52" s="1"/>
      <c r="C52" s="11"/>
      <c r="D52" s="1"/>
      <c r="E52" s="7"/>
      <c r="F52" s="11"/>
      <c r="G52" s="1"/>
      <c r="H52" s="1"/>
      <c r="I52" s="7"/>
      <c r="M52" s="11"/>
      <c r="N52" s="6"/>
      <c r="O52" s="1"/>
      <c r="P52" s="6"/>
      <c r="Q52" s="7"/>
    </row>
    <row r="53" spans="1:17" x14ac:dyDescent="0.3">
      <c r="A53" s="34"/>
      <c r="B53" s="4" t="s">
        <v>23</v>
      </c>
      <c r="C53" s="10"/>
      <c r="D53" s="4" t="s">
        <v>21</v>
      </c>
      <c r="E53" s="5"/>
      <c r="F53" s="10"/>
      <c r="G53" s="4"/>
      <c r="H53" s="4"/>
      <c r="I53" s="5"/>
      <c r="M53" s="11"/>
      <c r="N53" s="6"/>
      <c r="O53" s="1"/>
      <c r="P53" s="6"/>
      <c r="Q53" s="7"/>
    </row>
    <row r="54" spans="1:17" x14ac:dyDescent="0.3">
      <c r="A54" s="28" t="s">
        <v>2</v>
      </c>
      <c r="C54" s="11">
        <v>96.95</v>
      </c>
      <c r="D54" s="1">
        <v>99</v>
      </c>
      <c r="E54" s="7"/>
      <c r="F54" s="11" t="s">
        <v>7</v>
      </c>
      <c r="G54" s="1">
        <v>-120</v>
      </c>
      <c r="H54" s="1"/>
      <c r="I54" s="7">
        <v>-120</v>
      </c>
      <c r="M54" s="11">
        <f>20*T26</f>
        <v>36.68</v>
      </c>
      <c r="N54" s="6" t="s">
        <v>39</v>
      </c>
      <c r="O54" s="1"/>
      <c r="P54" s="6"/>
      <c r="Q54" s="7" t="s">
        <v>36</v>
      </c>
    </row>
    <row r="55" spans="1:17" x14ac:dyDescent="0.3">
      <c r="A55" s="28" t="s">
        <v>3</v>
      </c>
      <c r="C55" s="11">
        <v>95.95</v>
      </c>
      <c r="D55" s="1">
        <v>97</v>
      </c>
      <c r="E55" s="7"/>
      <c r="F55" s="11" t="s">
        <v>24</v>
      </c>
      <c r="G55" s="1">
        <v>-120</v>
      </c>
      <c r="H55" s="1"/>
      <c r="I55" s="7">
        <v>-120</v>
      </c>
      <c r="M55" s="11">
        <f>20*T26</f>
        <v>36.68</v>
      </c>
      <c r="N55" s="6" t="s">
        <v>39</v>
      </c>
      <c r="O55" s="1"/>
      <c r="P55" s="6"/>
      <c r="Q55" s="7" t="s">
        <v>36</v>
      </c>
    </row>
    <row r="56" spans="1:17" x14ac:dyDescent="0.3">
      <c r="A56" s="33"/>
      <c r="B56" s="2"/>
      <c r="C56" s="12"/>
      <c r="D56" s="2"/>
      <c r="E56" s="9"/>
      <c r="F56" s="12"/>
      <c r="G56" s="2"/>
      <c r="H56" s="2"/>
      <c r="I56" s="9"/>
      <c r="M56" s="11"/>
      <c r="N56" s="6"/>
      <c r="O56" s="1"/>
      <c r="P56" s="6"/>
      <c r="Q56" s="7"/>
    </row>
    <row r="57" spans="1:17" x14ac:dyDescent="0.3">
      <c r="A57" s="34"/>
      <c r="B57" s="4" t="s">
        <v>25</v>
      </c>
      <c r="C57" s="10"/>
      <c r="D57" s="4"/>
      <c r="E57" s="5"/>
      <c r="F57" s="10"/>
      <c r="G57" s="4"/>
      <c r="H57" s="4"/>
      <c r="I57" s="5"/>
      <c r="M57" s="11"/>
      <c r="N57" s="6"/>
      <c r="O57" s="1"/>
      <c r="P57" s="6"/>
      <c r="Q57" s="7"/>
    </row>
    <row r="58" spans="1:17" x14ac:dyDescent="0.3">
      <c r="A58" s="28" t="s">
        <v>2</v>
      </c>
      <c r="C58" s="11">
        <v>96.45</v>
      </c>
      <c r="D58" s="1">
        <v>99</v>
      </c>
      <c r="E58" s="7"/>
      <c r="F58" s="11" t="s">
        <v>7</v>
      </c>
      <c r="G58" s="1">
        <v>-120</v>
      </c>
      <c r="H58" s="1"/>
      <c r="I58" s="7">
        <v>-120</v>
      </c>
      <c r="M58" s="11">
        <v>36.68</v>
      </c>
      <c r="N58" s="6" t="s">
        <v>39</v>
      </c>
      <c r="O58" s="1"/>
      <c r="P58" s="6"/>
      <c r="Q58" s="7" t="s">
        <v>36</v>
      </c>
    </row>
    <row r="59" spans="1:17" x14ac:dyDescent="0.3">
      <c r="A59" s="28" t="s">
        <v>3</v>
      </c>
      <c r="C59" s="11">
        <v>95.95</v>
      </c>
      <c r="D59" s="1">
        <v>98.6</v>
      </c>
      <c r="E59" s="7"/>
      <c r="F59" s="11" t="s">
        <v>7</v>
      </c>
      <c r="G59" s="1">
        <v>-120</v>
      </c>
      <c r="H59" s="1"/>
      <c r="I59" s="7">
        <v>-120</v>
      </c>
      <c r="M59" s="11">
        <v>36.68</v>
      </c>
      <c r="N59" s="6" t="s">
        <v>39</v>
      </c>
      <c r="O59" s="1"/>
      <c r="P59" s="6"/>
      <c r="Q59" s="7" t="s">
        <v>36</v>
      </c>
    </row>
    <row r="60" spans="1:17" x14ac:dyDescent="0.3">
      <c r="A60" s="28" t="s">
        <v>26</v>
      </c>
      <c r="C60" s="11">
        <v>97.95</v>
      </c>
      <c r="D60" s="1">
        <v>101</v>
      </c>
      <c r="E60" s="7"/>
      <c r="F60" s="11" t="s">
        <v>5</v>
      </c>
      <c r="G60" s="1">
        <v>-120</v>
      </c>
      <c r="H60" s="1"/>
      <c r="I60" s="7">
        <v>-120</v>
      </c>
      <c r="M60" s="11">
        <v>36.68</v>
      </c>
      <c r="N60" s="6" t="s">
        <v>39</v>
      </c>
      <c r="O60" s="1"/>
      <c r="P60" s="6"/>
      <c r="Q60" s="7" t="s">
        <v>36</v>
      </c>
    </row>
    <row r="61" spans="1:17" x14ac:dyDescent="0.3">
      <c r="A61" s="28" t="s">
        <v>63</v>
      </c>
      <c r="C61" s="11">
        <v>97.95</v>
      </c>
      <c r="D61" s="1">
        <v>98</v>
      </c>
      <c r="E61" s="7"/>
      <c r="F61" s="11" t="s">
        <v>19</v>
      </c>
      <c r="G61" s="14">
        <v>-120</v>
      </c>
      <c r="H61" s="1"/>
      <c r="I61" s="7">
        <v>-120</v>
      </c>
      <c r="M61" s="11"/>
      <c r="N61" s="6" t="s">
        <v>37</v>
      </c>
      <c r="O61" s="1"/>
      <c r="P61" s="6"/>
      <c r="Q61" s="7" t="s">
        <v>36</v>
      </c>
    </row>
    <row r="62" spans="1:17" x14ac:dyDescent="0.3">
      <c r="A62" s="28" t="s">
        <v>63</v>
      </c>
      <c r="C62" s="11">
        <v>96.95</v>
      </c>
      <c r="D62" s="1">
        <v>86</v>
      </c>
      <c r="E62" s="7"/>
      <c r="F62" s="11" t="s">
        <v>4</v>
      </c>
      <c r="G62" s="14">
        <v>-120</v>
      </c>
      <c r="H62" s="1"/>
      <c r="I62" s="7">
        <v>-120</v>
      </c>
      <c r="M62" s="11">
        <v>0</v>
      </c>
      <c r="N62" s="6" t="s">
        <v>39</v>
      </c>
      <c r="O62" s="1"/>
      <c r="P62" s="6"/>
      <c r="Q62" s="7" t="s">
        <v>38</v>
      </c>
    </row>
    <row r="63" spans="1:17" x14ac:dyDescent="0.3">
      <c r="A63" s="33" t="s">
        <v>69</v>
      </c>
      <c r="B63" s="2"/>
      <c r="C63" s="12"/>
      <c r="D63" s="2"/>
      <c r="E63" s="9"/>
      <c r="F63" s="12"/>
      <c r="G63" s="2"/>
      <c r="H63" s="2"/>
      <c r="I63" s="9"/>
      <c r="M63" s="11"/>
      <c r="N63" s="6"/>
      <c r="O63" s="1"/>
      <c r="P63" s="6"/>
      <c r="Q63" s="7"/>
    </row>
    <row r="64" spans="1:17" x14ac:dyDescent="0.3">
      <c r="A64" s="28"/>
      <c r="B64" s="1" t="s">
        <v>27</v>
      </c>
      <c r="C64" s="11"/>
      <c r="D64" s="1"/>
      <c r="E64" s="7"/>
      <c r="F64" s="11"/>
      <c r="G64" s="1"/>
      <c r="H64" s="1"/>
      <c r="I64" s="7"/>
      <c r="M64" s="11"/>
      <c r="N64" s="6"/>
      <c r="O64" s="1"/>
      <c r="P64" s="6"/>
      <c r="Q64" s="7"/>
    </row>
    <row r="65" spans="1:17" x14ac:dyDescent="0.3">
      <c r="A65" s="28" t="s">
        <v>2</v>
      </c>
      <c r="C65" s="11">
        <v>96.45</v>
      </c>
      <c r="D65" s="1">
        <v>101</v>
      </c>
      <c r="E65" s="7"/>
      <c r="F65" s="11" t="s">
        <v>7</v>
      </c>
      <c r="G65" s="14">
        <v>-120</v>
      </c>
      <c r="H65" s="1"/>
      <c r="I65" s="7">
        <v>-120</v>
      </c>
      <c r="M65" s="11">
        <v>36.68</v>
      </c>
      <c r="N65" s="6" t="s">
        <v>45</v>
      </c>
      <c r="O65" s="1"/>
      <c r="P65" s="6"/>
      <c r="Q65" s="7" t="s">
        <v>36</v>
      </c>
    </row>
    <row r="66" spans="1:17" x14ac:dyDescent="0.3">
      <c r="A66" s="33" t="s">
        <v>3</v>
      </c>
      <c r="B66" s="2"/>
      <c r="C66" s="12"/>
      <c r="D66" s="2">
        <v>101</v>
      </c>
      <c r="E66" s="9"/>
      <c r="F66" s="12" t="s">
        <v>28</v>
      </c>
      <c r="G66" s="2">
        <v>-120</v>
      </c>
      <c r="H66" s="2"/>
      <c r="I66" s="9">
        <v>-120</v>
      </c>
      <c r="M66" s="11"/>
      <c r="N66" s="6"/>
      <c r="O66" s="1"/>
      <c r="P66" s="8"/>
      <c r="Q66" s="7"/>
    </row>
    <row r="67" spans="1:17" x14ac:dyDescent="0.3">
      <c r="L67" s="3" t="s">
        <v>52</v>
      </c>
      <c r="M67" s="10">
        <f>SUM(M3:M66)</f>
        <v>476.16</v>
      </c>
      <c r="N67" s="4" t="s">
        <v>55</v>
      </c>
      <c r="O67" s="5">
        <f>COUNTA(N4:N66)</f>
        <v>34</v>
      </c>
      <c r="P67" s="4" t="s">
        <v>53</v>
      </c>
      <c r="Q67" s="5">
        <f>COUNTIF(Q6:Q65, "Hit")</f>
        <v>23</v>
      </c>
    </row>
    <row r="68" spans="1:17" x14ac:dyDescent="0.3">
      <c r="L68" s="6" t="s">
        <v>51</v>
      </c>
      <c r="M68" s="11">
        <f>20*O68</f>
        <v>340</v>
      </c>
      <c r="N68" s="1" t="s">
        <v>39</v>
      </c>
      <c r="O68" s="7">
        <f>COUNTIF(N6:N66, "Bet")</f>
        <v>17</v>
      </c>
      <c r="P68" s="1" t="s">
        <v>54</v>
      </c>
      <c r="Q68" s="7">
        <f>COUNTIF(Q6:Q66, "Miss")</f>
        <v>11</v>
      </c>
    </row>
    <row r="69" spans="1:17" x14ac:dyDescent="0.3">
      <c r="L69" s="8" t="s">
        <v>57</v>
      </c>
      <c r="M69" s="12">
        <f>M67-M68</f>
        <v>136.16000000000003</v>
      </c>
      <c r="N69" s="2" t="s">
        <v>56</v>
      </c>
      <c r="O69" s="9">
        <f>O67-O68</f>
        <v>17</v>
      </c>
      <c r="P69" s="2"/>
      <c r="Q69" s="9"/>
    </row>
  </sheetData>
  <mergeCells count="6">
    <mergeCell ref="C2:C3"/>
    <mergeCell ref="D2:E3"/>
    <mergeCell ref="V12:W12"/>
    <mergeCell ref="V15:W15"/>
    <mergeCell ref="N3:O3"/>
    <mergeCell ref="P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THEODORIC</dc:creator>
  <cp:lastModifiedBy>EDWARD THEODORIC</cp:lastModifiedBy>
  <dcterms:created xsi:type="dcterms:W3CDTF">2026-10-03T22:14:05Z</dcterms:created>
  <dcterms:modified xsi:type="dcterms:W3CDTF">2026-10-04T18:00:37Z</dcterms:modified>
</cp:coreProperties>
</file>